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ABHINAV\OneDrive\Desktop\"/>
    </mc:Choice>
  </mc:AlternateContent>
  <xr:revisionPtr revIDLastSave="0" documentId="8_{15C08216-7801-43A5-AE3B-877BEDD0891B}" xr6:coauthVersionLast="47" xr6:coauthVersionMax="47" xr10:uidLastSave="{00000000-0000-0000-0000-000000000000}"/>
  <bookViews>
    <workbookView xWindow="-108" yWindow="-108" windowWidth="23256" windowHeight="12456" activeTab="1" xr2:uid="{25CA4738-597C-40F6-B3AF-FAF66BB85624}"/>
  </bookViews>
  <sheets>
    <sheet name="Data" sheetId="1" r:id="rId1"/>
    <sheet name="Sheet2" sheetId="2"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K139" i="1"/>
  <c r="L139" i="1" s="1"/>
  <c r="I139" i="1"/>
  <c r="K138" i="1"/>
  <c r="L138" i="1" s="1"/>
  <c r="I138" i="1"/>
  <c r="I137" i="1"/>
  <c r="K137" i="1" s="1"/>
  <c r="L137" i="1" s="1"/>
  <c r="I136" i="1"/>
  <c r="K136" i="1" s="1"/>
  <c r="L136" i="1" s="1"/>
  <c r="K135" i="1"/>
  <c r="L135" i="1" s="1"/>
  <c r="I135" i="1"/>
  <c r="K134" i="1"/>
  <c r="L134" i="1" s="1"/>
  <c r="I134" i="1"/>
  <c r="I133" i="1"/>
  <c r="K133" i="1" s="1"/>
  <c r="L133" i="1" s="1"/>
  <c r="I132" i="1"/>
  <c r="K132" i="1" s="1"/>
  <c r="L132" i="1" s="1"/>
  <c r="K131" i="1"/>
  <c r="L131" i="1" s="1"/>
  <c r="I131" i="1"/>
  <c r="K130" i="1"/>
  <c r="L130" i="1" s="1"/>
  <c r="I130" i="1"/>
  <c r="I129" i="1"/>
  <c r="K129" i="1" s="1"/>
  <c r="L129" i="1" s="1"/>
  <c r="I128" i="1"/>
  <c r="K128" i="1" s="1"/>
  <c r="L128" i="1" s="1"/>
  <c r="K127" i="1"/>
  <c r="L127" i="1" s="1"/>
  <c r="I127" i="1"/>
  <c r="K126" i="1"/>
  <c r="L126" i="1" s="1"/>
  <c r="I126" i="1"/>
  <c r="I125" i="1"/>
  <c r="K125" i="1" s="1"/>
  <c r="L125" i="1" s="1"/>
  <c r="I124" i="1"/>
  <c r="K124" i="1" s="1"/>
  <c r="L124" i="1" s="1"/>
  <c r="K123" i="1"/>
  <c r="L123" i="1" s="1"/>
  <c r="I123" i="1"/>
  <c r="K122" i="1"/>
  <c r="L122" i="1" s="1"/>
  <c r="I122" i="1"/>
  <c r="I121" i="1"/>
  <c r="K121" i="1" s="1"/>
  <c r="L121" i="1" s="1"/>
  <c r="I120" i="1"/>
  <c r="K120" i="1" s="1"/>
  <c r="L120" i="1" s="1"/>
  <c r="K119" i="1"/>
  <c r="L119" i="1" s="1"/>
  <c r="I119" i="1"/>
  <c r="K118" i="1"/>
  <c r="L118" i="1" s="1"/>
  <c r="I118" i="1"/>
  <c r="I117" i="1"/>
  <c r="K117" i="1" s="1"/>
  <c r="L117" i="1" s="1"/>
  <c r="I116" i="1"/>
  <c r="K116" i="1" s="1"/>
  <c r="L116" i="1" s="1"/>
  <c r="K115" i="1"/>
  <c r="L115" i="1" s="1"/>
  <c r="I115" i="1"/>
  <c r="K114" i="1"/>
  <c r="L114" i="1" s="1"/>
  <c r="I114" i="1"/>
  <c r="I113" i="1"/>
  <c r="K113" i="1" s="1"/>
  <c r="L113" i="1" s="1"/>
  <c r="I112" i="1"/>
  <c r="K112" i="1" s="1"/>
  <c r="L112" i="1" s="1"/>
  <c r="K111" i="1"/>
  <c r="L111" i="1" s="1"/>
  <c r="I111" i="1"/>
  <c r="K110" i="1"/>
  <c r="L110" i="1" s="1"/>
  <c r="I110" i="1"/>
  <c r="I109" i="1"/>
  <c r="K109" i="1" s="1"/>
  <c r="L109" i="1" s="1"/>
  <c r="I108" i="1"/>
  <c r="K108" i="1" s="1"/>
  <c r="L108" i="1" s="1"/>
  <c r="K107" i="1"/>
  <c r="L107" i="1" s="1"/>
  <c r="I107" i="1"/>
  <c r="K106" i="1"/>
  <c r="L106" i="1" s="1"/>
  <c r="I106" i="1"/>
  <c r="I105" i="1"/>
  <c r="K105" i="1" s="1"/>
  <c r="L105" i="1" s="1"/>
  <c r="I104" i="1"/>
  <c r="K104" i="1" s="1"/>
  <c r="L104" i="1" s="1"/>
  <c r="K103" i="1"/>
  <c r="L103" i="1" s="1"/>
  <c r="I103" i="1"/>
  <c r="K102" i="1"/>
  <c r="L102" i="1" s="1"/>
  <c r="I102" i="1"/>
  <c r="I101" i="1"/>
  <c r="K101" i="1" s="1"/>
  <c r="L101" i="1" s="1"/>
  <c r="I100" i="1"/>
  <c r="K100" i="1" s="1"/>
  <c r="L100" i="1" s="1"/>
  <c r="K99" i="1"/>
  <c r="L99" i="1" s="1"/>
  <c r="I99" i="1"/>
  <c r="K98" i="1"/>
  <c r="L98" i="1" s="1"/>
  <c r="I98" i="1"/>
  <c r="I97" i="1"/>
  <c r="K97" i="1" s="1"/>
  <c r="L97" i="1" s="1"/>
  <c r="I96" i="1"/>
  <c r="K96" i="1" s="1"/>
  <c r="L96" i="1" s="1"/>
  <c r="K95" i="1"/>
  <c r="L95" i="1" s="1"/>
  <c r="I95" i="1"/>
  <c r="K94" i="1"/>
  <c r="L94" i="1" s="1"/>
  <c r="I94" i="1"/>
  <c r="I93" i="1"/>
  <c r="K93" i="1" s="1"/>
  <c r="L93" i="1" s="1"/>
  <c r="I92" i="1"/>
  <c r="K92" i="1" s="1"/>
  <c r="L92" i="1" s="1"/>
  <c r="K91" i="1"/>
  <c r="L91" i="1" s="1"/>
  <c r="I91" i="1"/>
  <c r="K90" i="1"/>
  <c r="L90" i="1" s="1"/>
  <c r="I90" i="1"/>
  <c r="I89" i="1"/>
  <c r="K89" i="1" s="1"/>
  <c r="L89" i="1" s="1"/>
  <c r="I88" i="1"/>
  <c r="K88" i="1" s="1"/>
  <c r="L88" i="1" s="1"/>
  <c r="K87" i="1"/>
  <c r="L87" i="1" s="1"/>
  <c r="I87" i="1"/>
  <c r="K86" i="1"/>
  <c r="L86" i="1" s="1"/>
  <c r="I86" i="1"/>
  <c r="I85" i="1"/>
  <c r="K85" i="1" s="1"/>
  <c r="L85" i="1" s="1"/>
  <c r="I84" i="1"/>
  <c r="K84" i="1" s="1"/>
  <c r="L84" i="1" s="1"/>
  <c r="K83" i="1"/>
  <c r="L83" i="1" s="1"/>
  <c r="I83" i="1"/>
  <c r="K82" i="1"/>
  <c r="L82" i="1" s="1"/>
  <c r="I82" i="1"/>
  <c r="I81" i="1"/>
  <c r="K81" i="1" s="1"/>
  <c r="L81" i="1" s="1"/>
  <c r="I80" i="1"/>
  <c r="K80" i="1" s="1"/>
  <c r="L80" i="1" s="1"/>
  <c r="K79" i="1"/>
  <c r="L79" i="1" s="1"/>
  <c r="I79" i="1"/>
  <c r="K78" i="1"/>
  <c r="L78" i="1" s="1"/>
  <c r="I78" i="1"/>
  <c r="I77" i="1"/>
  <c r="K77" i="1" s="1"/>
  <c r="L77" i="1" s="1"/>
  <c r="I76" i="1"/>
  <c r="K76" i="1" s="1"/>
  <c r="L76" i="1" s="1"/>
  <c r="K75" i="1"/>
  <c r="L75" i="1" s="1"/>
  <c r="I75" i="1"/>
  <c r="K74" i="1"/>
  <c r="L74" i="1" s="1"/>
  <c r="I74" i="1"/>
  <c r="I73" i="1"/>
  <c r="K73" i="1" s="1"/>
  <c r="L73" i="1" s="1"/>
  <c r="I72" i="1"/>
  <c r="K72" i="1" s="1"/>
  <c r="L72" i="1" s="1"/>
  <c r="K71" i="1"/>
  <c r="L71" i="1" s="1"/>
  <c r="I71" i="1"/>
  <c r="K70" i="1"/>
  <c r="L70" i="1" s="1"/>
  <c r="I70" i="1"/>
  <c r="I69" i="1"/>
  <c r="K69" i="1" s="1"/>
  <c r="L69" i="1" s="1"/>
  <c r="I68" i="1"/>
  <c r="K68" i="1" s="1"/>
  <c r="L68" i="1" s="1"/>
  <c r="K67" i="1"/>
  <c r="L67" i="1" s="1"/>
  <c r="I67" i="1"/>
  <c r="K66" i="1"/>
  <c r="L66" i="1" s="1"/>
  <c r="I66" i="1"/>
  <c r="I65" i="1"/>
  <c r="K65" i="1" s="1"/>
  <c r="L65" i="1" s="1"/>
  <c r="I64" i="1"/>
  <c r="K64" i="1" s="1"/>
  <c r="L64" i="1" s="1"/>
  <c r="K63" i="1"/>
  <c r="L63" i="1" s="1"/>
  <c r="I63" i="1"/>
  <c r="K62" i="1"/>
  <c r="L62" i="1" s="1"/>
  <c r="I62" i="1"/>
  <c r="I61" i="1"/>
  <c r="K61" i="1" s="1"/>
  <c r="L61" i="1" s="1"/>
  <c r="I60" i="1"/>
  <c r="K60" i="1" s="1"/>
  <c r="L60" i="1" s="1"/>
  <c r="K59" i="1"/>
  <c r="L59" i="1" s="1"/>
  <c r="I59" i="1"/>
  <c r="K58" i="1"/>
  <c r="L58" i="1" s="1"/>
  <c r="I58" i="1"/>
  <c r="I57" i="1"/>
  <c r="K57" i="1" s="1"/>
  <c r="L57" i="1" s="1"/>
  <c r="I56" i="1"/>
  <c r="K56" i="1" s="1"/>
  <c r="L56" i="1" s="1"/>
  <c r="K55" i="1"/>
  <c r="L55" i="1" s="1"/>
  <c r="I55" i="1"/>
  <c r="K54" i="1"/>
  <c r="L54" i="1" s="1"/>
  <c r="I54" i="1"/>
  <c r="I53" i="1"/>
  <c r="K53" i="1" s="1"/>
  <c r="L53" i="1" s="1"/>
  <c r="I52" i="1"/>
  <c r="K52" i="1" s="1"/>
  <c r="L52" i="1" s="1"/>
  <c r="K51" i="1"/>
  <c r="L51" i="1" s="1"/>
  <c r="I51" i="1"/>
  <c r="K50" i="1"/>
  <c r="L50" i="1" s="1"/>
  <c r="I50" i="1"/>
  <c r="I49" i="1"/>
  <c r="K49" i="1" s="1"/>
  <c r="L49" i="1" s="1"/>
  <c r="I48" i="1"/>
  <c r="K48" i="1" s="1"/>
  <c r="L48" i="1" s="1"/>
  <c r="K47" i="1"/>
  <c r="L47" i="1" s="1"/>
  <c r="I47" i="1"/>
  <c r="K46" i="1"/>
  <c r="L46" i="1" s="1"/>
  <c r="I46" i="1"/>
  <c r="I45" i="1"/>
  <c r="K45" i="1" s="1"/>
  <c r="L45" i="1" s="1"/>
  <c r="I44" i="1"/>
  <c r="K44" i="1" s="1"/>
  <c r="L44" i="1" s="1"/>
  <c r="K43" i="1"/>
  <c r="L43" i="1" s="1"/>
  <c r="I43" i="1"/>
  <c r="K42" i="1"/>
  <c r="L42" i="1" s="1"/>
  <c r="I42" i="1"/>
  <c r="I41" i="1"/>
  <c r="K41" i="1" s="1"/>
  <c r="L41" i="1" s="1"/>
  <c r="I40" i="1"/>
  <c r="K40" i="1" s="1"/>
  <c r="L40" i="1" s="1"/>
  <c r="K39" i="1"/>
  <c r="L39" i="1" s="1"/>
  <c r="I39" i="1"/>
  <c r="K38" i="1"/>
  <c r="L38" i="1" s="1"/>
  <c r="I38" i="1"/>
  <c r="I37" i="1"/>
  <c r="K37" i="1" s="1"/>
  <c r="L37" i="1" s="1"/>
  <c r="I36" i="1"/>
  <c r="K36" i="1" s="1"/>
  <c r="L36" i="1" s="1"/>
  <c r="K35" i="1"/>
  <c r="L35" i="1" s="1"/>
  <c r="I35" i="1"/>
  <c r="K34" i="1"/>
  <c r="L34" i="1" s="1"/>
  <c r="I34" i="1"/>
  <c r="I33" i="1"/>
  <c r="K33" i="1" s="1"/>
  <c r="L33" i="1" s="1"/>
  <c r="I32" i="1"/>
  <c r="K32" i="1" s="1"/>
  <c r="L32" i="1" s="1"/>
  <c r="K31" i="1"/>
  <c r="L31" i="1" s="1"/>
  <c r="I31" i="1"/>
  <c r="K30" i="1"/>
  <c r="L30" i="1" s="1"/>
  <c r="I30" i="1"/>
  <c r="I29" i="1"/>
  <c r="K29" i="1" s="1"/>
  <c r="L29" i="1" s="1"/>
  <c r="I28" i="1"/>
  <c r="K28" i="1" s="1"/>
  <c r="L28" i="1" s="1"/>
  <c r="K27" i="1"/>
  <c r="L27" i="1" s="1"/>
  <c r="I27" i="1"/>
  <c r="K26" i="1"/>
  <c r="L26" i="1" s="1"/>
  <c r="I26" i="1"/>
  <c r="I25" i="1"/>
  <c r="K25" i="1" s="1"/>
  <c r="L25" i="1" s="1"/>
  <c r="I24" i="1"/>
  <c r="K24" i="1" s="1"/>
  <c r="L24" i="1" s="1"/>
  <c r="K23" i="1"/>
  <c r="L23" i="1" s="1"/>
  <c r="I23" i="1"/>
  <c r="K22" i="1"/>
  <c r="L22" i="1" s="1"/>
  <c r="I22" i="1"/>
  <c r="I21" i="1"/>
  <c r="K21" i="1" s="1"/>
  <c r="L21" i="1" s="1"/>
  <c r="I20" i="1"/>
  <c r="K20" i="1" s="1"/>
  <c r="L20" i="1" s="1"/>
  <c r="K19" i="1"/>
  <c r="L19" i="1" s="1"/>
  <c r="I19" i="1"/>
  <c r="K18" i="1"/>
  <c r="L18" i="1" s="1"/>
  <c r="I18" i="1"/>
  <c r="I17" i="1"/>
  <c r="K17" i="1" s="1"/>
  <c r="L17" i="1" s="1"/>
  <c r="I16" i="1"/>
  <c r="K16" i="1" s="1"/>
  <c r="L16" i="1" s="1"/>
  <c r="K15" i="1"/>
  <c r="L15" i="1" s="1"/>
  <c r="I15" i="1"/>
  <c r="K14" i="1"/>
  <c r="L14" i="1" s="1"/>
  <c r="I14" i="1"/>
  <c r="I13" i="1"/>
  <c r="K13" i="1" s="1"/>
  <c r="L13" i="1" s="1"/>
  <c r="I12" i="1"/>
  <c r="K12" i="1" s="1"/>
  <c r="L12" i="1" s="1"/>
  <c r="K11" i="1"/>
  <c r="L11" i="1" s="1"/>
  <c r="I11" i="1"/>
  <c r="K10" i="1"/>
  <c r="L10" i="1" s="1"/>
  <c r="I10" i="1"/>
  <c r="I9" i="1"/>
  <c r="K9" i="1" s="1"/>
  <c r="L9" i="1" s="1"/>
  <c r="I8" i="1"/>
  <c r="K8" i="1" s="1"/>
  <c r="L8" i="1" s="1"/>
  <c r="K7" i="1"/>
  <c r="L7" i="1" s="1"/>
  <c r="I7" i="1"/>
  <c r="K6" i="1"/>
  <c r="L6" i="1" s="1"/>
  <c r="I6" i="1"/>
  <c r="I5" i="1"/>
  <c r="K5" i="1" s="1"/>
  <c r="L5" i="1" s="1"/>
  <c r="I4" i="1"/>
  <c r="K4" i="1" s="1"/>
  <c r="L4" i="1" s="1"/>
  <c r="K3" i="1"/>
  <c r="L3" i="1" s="1"/>
  <c r="I3" i="1"/>
  <c r="K2" i="1"/>
  <c r="L2" i="1" s="1"/>
  <c r="I2"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<sst xmlns="http://schemas.openxmlformats.org/spreadsheetml/2006/main" count="463" uniqueCount="306">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</sst>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2"/>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2"/>
        <bgColor indexed="64"/>
      </patternFill>
    </fill>
    <fill>
      <patternFill patternType="solid">
        <fgColor theme="8" tint="0.79998168889431442"/>
        <bgColor indexed="64"/>
      </patternFill>
    </fill>
    <fill>
      <patternFill patternType="solid">
        <fgColor theme="9"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indexed="65"/>
      </top>
      <bottom style="thin">
        <color rgb="FFABABAB"/>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6" fillId="4" borderId="0" xfId="0" applyFont="1" applyFill="1"/>
    <xf numFmtId="0" fontId="0" fillId="4" borderId="0" xfId="0" applyFill="1"/>
    <xf numFmtId="0" fontId="0" fillId="5" borderId="0" xfId="0" applyFill="1"/>
    <xf numFmtId="0" fontId="0" fillId="0" borderId="2" xfId="0" pivotButton="1" applyBorder="1"/>
    <xf numFmtId="0" fontId="0" fillId="0" borderId="3" xfId="0" applyBorder="1"/>
    <xf numFmtId="0" fontId="0" fillId="6" borderId="3" xfId="0" applyNumberFormat="1" applyFill="1" applyBorder="1"/>
    <xf numFmtId="0" fontId="0" fillId="6" borderId="5" xfId="0" applyNumberFormat="1" applyFill="1" applyBorder="1"/>
    <xf numFmtId="0" fontId="0" fillId="6" borderId="7" xfId="0" applyNumberFormat="1" applyFill="1" applyBorder="1"/>
    <xf numFmtId="0" fontId="0" fillId="6" borderId="2" xfId="0" applyFill="1" applyBorder="1" applyAlignment="1">
      <alignment horizontal="left"/>
    </xf>
    <xf numFmtId="0" fontId="0" fillId="6" borderId="4" xfId="0" applyFill="1" applyBorder="1" applyAlignment="1">
      <alignment horizontal="left"/>
    </xf>
    <xf numFmtId="0" fontId="0" fillId="6" borderId="6" xfId="0" applyFill="1" applyBorder="1" applyAlignment="1">
      <alignment horizontal="left"/>
    </xf>
    <xf numFmtId="10" fontId="0" fillId="7" borderId="3" xfId="0" applyNumberFormat="1" applyFill="1" applyBorder="1"/>
    <xf numFmtId="10" fontId="0" fillId="7" borderId="5" xfId="0" applyNumberFormat="1" applyFill="1" applyBorder="1"/>
    <xf numFmtId="10" fontId="0" fillId="7" borderId="7" xfId="0" applyNumberFormat="1" applyFill="1" applyBorder="1"/>
    <xf numFmtId="0" fontId="0" fillId="7" borderId="2" xfId="0" applyFill="1" applyBorder="1" applyAlignment="1">
      <alignment horizontal="left"/>
    </xf>
    <xf numFmtId="0" fontId="0" fillId="7" borderId="4" xfId="0" applyFill="1" applyBorder="1" applyAlignment="1">
      <alignment horizontal="left"/>
    </xf>
    <xf numFmtId="0" fontId="0" fillId="7" borderId="6" xfId="0" applyFill="1" applyBorder="1" applyAlignment="1">
      <alignment horizontal="left"/>
    </xf>
    <xf numFmtId="0" fontId="6" fillId="5" borderId="0" xfId="0" applyFont="1" applyFill="1"/>
  </cellXfs>
  <cellStyles count="2">
    <cellStyle name="Normal" xfId="0" builtinId="0"/>
    <cellStyle name="Percent" xfId="1" builtinId="5"/>
  </cellStyles>
  <dxfs count="78">
    <dxf>
      <fill>
        <patternFill>
          <bgColor theme="8" tint="0.79998168889431442"/>
        </patternFill>
      </fill>
    </dxf>
    <dxf>
      <fill>
        <patternFill patternType="solid">
          <bgColor theme="4" tint="0.59999389629810485"/>
        </patternFill>
      </fill>
    </dxf>
    <dxf>
      <fill>
        <patternFill>
          <bgColor theme="3"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4" tint="0.59999389629810485"/>
        </patternFill>
      </fill>
    </dxf>
    <dxf>
      <fill>
        <patternFill>
          <bgColor theme="3"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4" tint="0.59999389629810485"/>
        </patternFill>
      </fill>
    </dxf>
    <dxf>
      <fill>
        <patternFill>
          <bgColor theme="3"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4" tint="0.59999389629810485"/>
        </patternFill>
      </fill>
    </dxf>
    <dxf>
      <fill>
        <patternFill>
          <bgColor theme="3"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8" tint="0.79998168889431442"/>
        </patternFill>
      </fill>
    </dxf>
    <dxf>
      <fill>
        <patternFill>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4" tint="0.59999389629810485"/>
        </patternFill>
      </fill>
    </dxf>
    <dxf>
      <fill>
        <patternFill>
          <bgColor theme="3"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1" tint="0.24994659260841701"/>
        </patternFill>
      </fill>
    </dxf>
  </dxfs>
  <tableStyles count="1" defaultTableStyle="TableStyleMedium2" defaultPivotStyle="PivotStyleLight16">
    <tableStyle name="Slicer Style 7" pivot="0" table="0" count="5" xr9:uid="{AF6E7FD6-B88B-4E3B-AF56-6043A9725A56}">
      <tableStyleElement type="wholeTable" dxfId="77"/>
    </tableStyle>
  </tableStyles>
  <extLst>
    <ext xmlns:x14="http://schemas.microsoft.com/office/spreadsheetml/2009/9/main" uri="{46F421CA-312F-682f-3DD2-61675219B42D}">
      <x14:dxfs count="4">
        <dxf>
          <fill>
            <patternFill>
              <bgColor theme="7" tint="0.39994506668294322"/>
            </patternFill>
          </fill>
        </dxf>
        <dxf>
          <fill>
            <patternFill>
              <bgColor theme="7" tint="0.39994506668294322"/>
            </patternFill>
          </fill>
        </dxf>
        <dxf>
          <fill>
            <patternFill>
              <bgColor theme="8"/>
            </patternFill>
          </fill>
        </dxf>
        <dxf>
          <fill>
            <patternFill>
              <bgColor theme="4" tint="0.79998168889431442"/>
            </patternFill>
          </fill>
        </dxf>
      </x14:dxfs>
    </ext>
    <ext xmlns:x14="http://schemas.microsoft.com/office/spreadsheetml/2009/9/main" uri="{EB79DEF2-80B8-43e5-95BD-54CBDDF9020C}">
      <x14:slicerStyles defaultSlicerStyle="SlicerStyleLight1">
        <x14:slicerStyle name="Slicer Style 7">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[EXCEDLD.xlsm]Sheet2!PivotTable1</c:name>
    <c:fmtId val="11"/>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Sheet2!$B$6</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Sheet2!$A$7:$A$11</c:f>
              <c:strCache>
                <c:ptCount val="5"/>
                <c:pt idx="0">
                  <c:v>Afzal Husain</c:v>
                </c:pt>
                <c:pt idx="1">
                  <c:v>Kavita Sharma</c:v>
                </c:pt>
                <c:pt idx="2">
                  <c:v>Miny Mole</c:v>
                </c:pt>
                <c:pt idx="3">
                  <c:v>Shailendra Barge</c:v>
                </c:pt>
                <c:pt idx="4">
                  <c:v>Surendra Kumar</c:v>
                </c:pt>
              </c:strCache>
            </c:strRef>
          </c:cat>
          <c:val>
            <c:numRef>
              <c:f>Sheet2!$B$7:$B$11</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1CA3-4543-8CD3-B1D9841A81E1}"/>
            </c:ext>
          </c:extLst>
        </c:ser>
        <c:dLbls>
          <c:dLblPos val="outEnd"/>
          <c:showLegendKey val="0"/>
          <c:showVal val="1"/>
          <c:showCatName val="0"/>
          <c:showSerName val="0"/>
          <c:showPercent val="0"/>
          <c:showBubbleSize val="0"/>
        </c:dLbls>
        <c:gapWidth val="182"/>
        <c:axId val="83091440"/>
        <c:axId val="83091920"/>
      </c:barChart>
      <c:catAx>
        <c:axId val="83091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91920"/>
        <c:crosses val="autoZero"/>
        <c:auto val="1"/>
        <c:lblAlgn val="ctr"/>
        <c:lblOffset val="100"/>
        <c:noMultiLvlLbl val="0"/>
      </c:catAx>
      <c:valAx>
        <c:axId val="83091920"/>
        <c:scaling>
          <c:orientation val="minMax"/>
        </c:scaling>
        <c:delete val="1"/>
        <c:axPos val="b"/>
        <c:numFmt formatCode="General" sourceLinked="1"/>
        <c:majorTickMark val="none"/>
        <c:minorTickMark val="none"/>
        <c:tickLblPos val="nextTo"/>
        <c:crossAx val="8309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[EXCEDLD.xlsm]Sheet2!PivotTable3</c:name>
    <c:fmtId val="6"/>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Sheet2!$H$6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Sheet2!$G$7:$G$11</c:f>
              <c:strCache>
                <c:ptCount val="5"/>
                <c:pt idx="0">
                  <c:v>Jagdish Chandra</c:v>
                </c:pt>
                <c:pt idx="1">
                  <c:v>Rachita Anupam</c:v>
                </c:pt>
                <c:pt idx="2">
                  <c:v>Miny Mole</c:v>
                </c:pt>
                <c:pt idx="3">
                  <c:v>Anikuttan</c:v>
                </c:pt>
                <c:pt idx="4">
                  <c:v>Arvind Sharma</c:v>
                </c:pt>
              </c:strCache>
            </c:strRef>
          </c:cat>
          <c:val>
            <c:numRef>
              <c:f>Sheet2!$H$7:$H$11</c:f>
              <c:numCache>
                <c:formatCode>0.00%</c:formatCode>
                <c:ptCount val="5"/>
                <c:pt idx="0">
                  <c:v>0.77800000000000002</c:v>
                </c:pt>
                <c:pt idx="1">
                  <c:v>0.77</c:v>
                </c:pt>
                <c:pt idx="2">
                  <c:v>0.76800000000000002</c:v>
                </c:pt>
                <c:pt idx="3">
                  <c:v>0.76400000000000001</c:v>
                </c:pt>
                <c:pt idx="4">
                  <c:v>0.75800000000000001</c:v>
                </c:pt>
              </c:numCache>
            </c:numRef>
          </c:val>
          <c:extLst>
            <c:ext xmlns:c16="http://schemas.microsoft.com/office/drawing/2014/chart" uri="{C3380CC4-5D6E-409C-BE32-E72D297353CC}">
              <c16:uniqueId val="{00000000-21E7-4FC0-B50F-C881DA3413A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[EXCEDLD.xlsm]Sheet2!PivotTable4</c:name>
    <c:fmtId val="10"/>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5.4096098519858887E-2"/>
              <c:y val="-5.890471318889292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3.9156628569745049E-2"/>
              <c:y val="5.9481823952390975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4613705984763675E-2"/>
              <c:y val="4.9616230166597344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layout>
            <c:manualLayout>
              <c:x val="-1.8713990803844817E-2"/>
              <c:y val="-4.6038849378797035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layout>
            <c:manualLayout>
              <c:x val="-6.7340494120339323E-2"/>
              <c:y val="8.250095449766951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2.4191477492421722E-3"/>
          <c:w val="0.93888888888888888"/>
          <c:h val="0.81852653834937295"/>
        </c:manualLayout>
      </c:layout>
      <c:lineChart>
        <c:grouping val="standard"/>
        <c:varyColors val="0"/>
        <c:ser>
          <c:idx val="0"/>
          <c:order val="0"/>
          <c:tx>
            <c:strRef>
              <c:f>Sheet2!$K$6</c:f>
              <c:strCache>
                <c:ptCount val="1"/>
                <c:pt idx="0">
                  <c:v>Total</c:v>
                </c:pt>
              </c:strCache>
            </c:strRef>
          </c:tx>
          <c:spPr>
            <a:ln w="28575" cap="rnd">
              <a:solidFill>
                <a:schemeClr val="accent1"/>
              </a:solidFill>
              <a:round/>
            </a:ln>
            <a:effectLst/>
          </c:spPr>
          <c:marker>
            <c:symbol val="none"/>
          </c:marker>
          <c:dLbls>
            <c:dLbl>
              <c:idx val="2"/>
              <c:layout>
                <c:manualLayout>
                  <c:x val="-6.7340494120339323E-2"/>
                  <c:y val="8.25009544976695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E27-4FBC-A4C7-0B46EEF1109D}"/>
                </c:ext>
              </c:extLst>
            </c:dLbl>
            <c:dLbl>
              <c:idx val="4"/>
              <c:layout>
                <c:manualLayout>
                  <c:x val="-1.8713990803844817E-2"/>
                  <c:y val="-4.60388493787970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27-4FBC-A4C7-0B46EEF1109D}"/>
                </c:ext>
              </c:extLst>
            </c:dLbl>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Sheet2!$J$7:$J$11</c:f>
              <c:strCache>
                <c:ptCount val="5"/>
                <c:pt idx="0">
                  <c:v>Omprakash O</c:v>
                </c:pt>
                <c:pt idx="1">
                  <c:v>Pankaj Shelkey</c:v>
                </c:pt>
                <c:pt idx="2">
                  <c:v>Dinesh Kumar</c:v>
                </c:pt>
                <c:pt idx="3">
                  <c:v>Praveen Kumar</c:v>
                </c:pt>
                <c:pt idx="4">
                  <c:v>Prabha Desikan</c:v>
                </c:pt>
              </c:strCache>
            </c:strRef>
          </c:cat>
          <c:val>
            <c:numRef>
              <c:f>Sheet2!$K$7:$K$11</c:f>
              <c:numCache>
                <c:formatCode>0.00%</c:formatCode>
                <c:ptCount val="5"/>
                <c:pt idx="0">
                  <c:v>0.71399999999999997</c:v>
                </c:pt>
                <c:pt idx="1">
                  <c:v>0.68799999999999994</c:v>
                </c:pt>
                <c:pt idx="2">
                  <c:v>0.66799999999999993</c:v>
                </c:pt>
                <c:pt idx="3">
                  <c:v>0.66799999999999993</c:v>
                </c:pt>
                <c:pt idx="4">
                  <c:v>0.65799999999999992</c:v>
                </c:pt>
              </c:numCache>
            </c:numRef>
          </c:val>
          <c:smooth val="0"/>
          <c:extLst>
            <c:ext xmlns:c16="http://schemas.microsoft.com/office/drawing/2014/chart" uri="{C3380CC4-5D6E-409C-BE32-E72D297353CC}">
              <c16:uniqueId val="{00000000-7E27-4FBC-A4C7-0B46EEF1109D}"/>
            </c:ext>
          </c:extLst>
        </c:ser>
        <c:dLbls>
          <c:showLegendKey val="0"/>
          <c:showVal val="0"/>
          <c:showCatName val="0"/>
          <c:showSerName val="0"/>
          <c:showPercent val="0"/>
          <c:showBubbleSize val="0"/>
        </c:dLbls>
        <c:smooth val="0"/>
        <c:axId val="77369120"/>
        <c:axId val="77370560"/>
      </c:lineChart>
      <c:catAx>
        <c:axId val="7736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70560"/>
        <c:crosses val="autoZero"/>
        <c:auto val="1"/>
        <c:lblAlgn val="ctr"/>
        <c:lblOffset val="100"/>
        <c:noMultiLvlLbl val="0"/>
      </c:catAx>
      <c:valAx>
        <c:axId val="77370560"/>
        <c:scaling>
          <c:orientation val="minMax"/>
        </c:scaling>
        <c:delete val="1"/>
        <c:axPos val="l"/>
        <c:numFmt formatCode="0.00%" sourceLinked="1"/>
        <c:majorTickMark val="none"/>
        <c:minorTickMark val="none"/>
        <c:tickLblPos val="nextTo"/>
        <c:crossAx val="77369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11723</xdr:rowOff>
    </xdr:from>
    <xdr:ext cx="10739476" cy="351691"/>
    <mc:AlternateContent xmlns:mc="http://schemas.openxmlformats.org/markup-compatibility/2006">
      <mc:Choice xmlns:a14="http://schemas.microsoft.com/office/drawing/2010/main" Requires="a14">
        <xdr:graphicFrame macro="">
          <xdr:nvGraphicFramePr>
            <xdr:cNvPr id="12" name="Region 1">
              <a:extLst>
                <a:ext uri="{FF2B5EF4-FFF2-40B4-BE49-F238E27FC236}">
                  <a16:creationId xmlns:a16="http://schemas.microsoft.com/office/drawing/2014/main" id="{B809412C-E0B9-4DFA-A689-AF6EB010ED7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1723"/>
              <a:ext cx="10739476" cy="3516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0</xdr:col>
      <xdr:colOff>463061</xdr:colOff>
      <xdr:row>2</xdr:row>
      <xdr:rowOff>64477</xdr:rowOff>
    </xdr:from>
    <xdr:to>
      <xdr:col>1</xdr:col>
      <xdr:colOff>304799</xdr:colOff>
      <xdr:row>3</xdr:row>
      <xdr:rowOff>64477</xdr:rowOff>
    </xdr:to>
    <xdr:sp macro="" textlink="">
      <xdr:nvSpPr>
        <xdr:cNvPr id="14" name="Speech Bubble: Rectangle with Corners Rounded 13">
          <a:extLst>
            <a:ext uri="{FF2B5EF4-FFF2-40B4-BE49-F238E27FC236}">
              <a16:creationId xmlns:a16="http://schemas.microsoft.com/office/drawing/2014/main" id="{5A99F371-90C4-447E-AA57-B659BF02897D}"/>
            </a:ext>
          </a:extLst>
        </xdr:cNvPr>
        <xdr:cNvSpPr/>
      </xdr:nvSpPr>
      <xdr:spPr>
        <a:xfrm>
          <a:off x="463061" y="430237"/>
          <a:ext cx="992358" cy="1981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487680</xdr:colOff>
          <xdr:row>2</xdr:row>
          <xdr:rowOff>45720</xdr:rowOff>
        </xdr:from>
        <xdr:to>
          <xdr:col>1</xdr:col>
          <xdr:colOff>182880</xdr:colOff>
          <xdr:row>3</xdr:row>
          <xdr:rowOff>76200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E16DA33-84A3-46B3-842B-51B37C12D7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422030</xdr:colOff>
      <xdr:row>2</xdr:row>
      <xdr:rowOff>82062</xdr:rowOff>
    </xdr:from>
    <xdr:to>
      <xdr:col>4</xdr:col>
      <xdr:colOff>304799</xdr:colOff>
      <xdr:row>3</xdr:row>
      <xdr:rowOff>82062</xdr:rowOff>
    </xdr:to>
    <xdr:sp macro="" textlink="">
      <xdr:nvSpPr>
        <xdr:cNvPr id="15" name="Speech Bubble: Rectangle with Corners Rounded 14">
          <a:extLst>
            <a:ext uri="{FF2B5EF4-FFF2-40B4-BE49-F238E27FC236}">
              <a16:creationId xmlns:a16="http://schemas.microsoft.com/office/drawing/2014/main" id="{5A0DA53C-E21C-4143-AB29-0E112A7B4C3A}"/>
            </a:ext>
          </a:extLst>
        </xdr:cNvPr>
        <xdr:cNvSpPr/>
      </xdr:nvSpPr>
      <xdr:spPr>
        <a:xfrm>
          <a:off x="2974730" y="447822"/>
          <a:ext cx="987669" cy="1981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449580</xdr:colOff>
          <xdr:row>2</xdr:row>
          <xdr:rowOff>60960</xdr:rowOff>
        </xdr:from>
        <xdr:to>
          <xdr:col>4</xdr:col>
          <xdr:colOff>182880</xdr:colOff>
          <xdr:row>3</xdr:row>
          <xdr:rowOff>99060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1BB1D60-1C71-487D-8350-DC64572FB1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439615</xdr:colOff>
      <xdr:row>2</xdr:row>
      <xdr:rowOff>87924</xdr:rowOff>
    </xdr:from>
    <xdr:to>
      <xdr:col>7</xdr:col>
      <xdr:colOff>216877</xdr:colOff>
      <xdr:row>3</xdr:row>
      <xdr:rowOff>87924</xdr:rowOff>
    </xdr:to>
    <xdr:sp macro="" textlink="">
      <xdr:nvSpPr>
        <xdr:cNvPr id="16" name="Speech Bubble: Rectangle with Corners Rounded 15">
          <a:extLst>
            <a:ext uri="{FF2B5EF4-FFF2-40B4-BE49-F238E27FC236}">
              <a16:creationId xmlns:a16="http://schemas.microsoft.com/office/drawing/2014/main" id="{2AC17E7E-9B7D-4B41-8D90-B4DCEF94C309}"/>
            </a:ext>
          </a:extLst>
        </xdr:cNvPr>
        <xdr:cNvSpPr/>
      </xdr:nvSpPr>
      <xdr:spPr>
        <a:xfrm>
          <a:off x="5484055" y="453684"/>
          <a:ext cx="988842" cy="1981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464820</xdr:colOff>
          <xdr:row>2</xdr:row>
          <xdr:rowOff>68580</xdr:rowOff>
        </xdr:from>
        <xdr:to>
          <xdr:col>7</xdr:col>
          <xdr:colOff>99060</xdr:colOff>
          <xdr:row>3</xdr:row>
          <xdr:rowOff>99060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72EB31EE-35D4-4213-AFA3-5EF9F9C1D0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410307</xdr:colOff>
      <xdr:row>2</xdr:row>
      <xdr:rowOff>93788</xdr:rowOff>
    </xdr:from>
    <xdr:to>
      <xdr:col>10</xdr:col>
      <xdr:colOff>181707</xdr:colOff>
      <xdr:row>3</xdr:row>
      <xdr:rowOff>93788</xdr:rowOff>
    </xdr:to>
    <xdr:sp macro="" textlink="">
      <xdr:nvSpPr>
        <xdr:cNvPr id="17" name="Speech Bubble: Rectangle with Corners Rounded 16">
          <a:extLst>
            <a:ext uri="{FF2B5EF4-FFF2-40B4-BE49-F238E27FC236}">
              <a16:creationId xmlns:a16="http://schemas.microsoft.com/office/drawing/2014/main" id="{6D42CDCD-EECF-4D9B-B370-7F938559D799}"/>
            </a:ext>
          </a:extLst>
        </xdr:cNvPr>
        <xdr:cNvSpPr/>
      </xdr:nvSpPr>
      <xdr:spPr>
        <a:xfrm>
          <a:off x="8266527" y="459548"/>
          <a:ext cx="990600" cy="1981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434340</xdr:colOff>
          <xdr:row>2</xdr:row>
          <xdr:rowOff>76200</xdr:rowOff>
        </xdr:from>
        <xdr:to>
          <xdr:col>10</xdr:col>
          <xdr:colOff>60960</xdr:colOff>
          <xdr:row>3</xdr:row>
          <xdr:rowOff>106680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612F726-FECA-4CC7-AD7E-B8D03E779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11</xdr:row>
      <xdr:rowOff>14654</xdr:rowOff>
    </xdr:from>
    <xdr:to>
      <xdr:col>5</xdr:col>
      <xdr:colOff>5860</xdr:colOff>
      <xdr:row>20</xdr:row>
      <xdr:rowOff>164123</xdr:rowOff>
    </xdr:to>
    <xdr:graphicFrame macro="">
      <xdr:nvGraphicFramePr>
        <xdr:cNvPr id="18" name="Chart 17">
          <a:extLst>
            <a:ext uri="{FF2B5EF4-FFF2-40B4-BE49-F238E27FC236}">
              <a16:creationId xmlns:a16="http://schemas.microsoft.com/office/drawing/2014/main" id="{4001BC7D-A1C4-0B39-33DC-4A0A2EFA4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172915</xdr:colOff>
      <xdr:row>11</xdr:row>
      <xdr:rowOff>64477</xdr:rowOff>
    </xdr:from>
    <xdr:to>
      <xdr:col>8</xdr:col>
      <xdr:colOff>17584</xdr:colOff>
      <xdr:row>20</xdr:row>
      <xdr:rowOff>158260</xdr:rowOff>
    </xdr:to>
    <xdr:graphicFrame macro="">
      <xdr:nvGraphicFramePr>
        <xdr:cNvPr id="19" name="Chart 18">
          <a:extLst>
            <a:ext uri="{FF2B5EF4-FFF2-40B4-BE49-F238E27FC236}">
              <a16:creationId xmlns:a16="http://schemas.microsoft.com/office/drawing/2014/main" id="{40D909A2-2213-B03B-8D47-04FDDE75F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123092</xdr:colOff>
      <xdr:row>11</xdr:row>
      <xdr:rowOff>76199</xdr:rowOff>
    </xdr:from>
    <xdr:to>
      <xdr:col>10</xdr:col>
      <xdr:colOff>1688123</xdr:colOff>
      <xdr:row>20</xdr:row>
      <xdr:rowOff>140676</xdr:rowOff>
    </xdr:to>
    <xdr:graphicFrame macro="">
      <xdr:nvGraphicFramePr>
        <xdr:cNvPr id="20" name="Chart 19">
          <a:extLst>
            <a:ext uri="{FF2B5EF4-FFF2-40B4-BE49-F238E27FC236}">
              <a16:creationId xmlns:a16="http://schemas.microsoft.com/office/drawing/2014/main" id="{FD72F6E3-0DE1-9DDF-9981-C5C5182CBA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EXCELLLLLL.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E363871-0A0C-4AAE-A1C4-AA1ACF2BBAA8}">
  <cacheSource type="worksheet">
    <worksheetSource ref="A1:L142" sheet="RAW DATA" r:id="rId2"/>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839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722F5E-4EE2-4CE4-A2E0-EED5A0517BE0}"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12">
  <location ref="J6:K11"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0"/>
    </i>
    <i>
      <x v="72"/>
    </i>
    <i>
      <x v="26"/>
    </i>
    <i>
      <x v="77"/>
    </i>
    <i>
      <x v="74"/>
    </i>
  </rowItems>
  <colItems count="1">
    <i/>
  </colItems>
  <dataFields count="1">
    <dataField name="Away From Target % " fld="11" baseField="1" baseItem="26" numFmtId="10"/>
  </dataFields>
  <formats count="10">
    <format dxfId="44">
      <pivotArea outline="0" collapsedLevelsAreSubtotals="1" fieldPosition="0"/>
    </format>
    <format dxfId="45">
      <pivotArea dataOnly="0" labelOnly="1" fieldPosition="0">
        <references count="1">
          <reference field="1" count="5">
            <x v="26"/>
            <x v="70"/>
            <x v="72"/>
            <x v="74"/>
            <x v="77"/>
          </reference>
        </references>
      </pivotArea>
    </format>
    <format dxfId="46">
      <pivotArea dataOnly="0" labelOnly="1" fieldPosition="0">
        <references count="1">
          <reference field="1" count="5">
            <x v="14"/>
            <x v="71"/>
            <x v="88"/>
            <x v="120"/>
            <x v="128"/>
          </reference>
        </references>
      </pivotArea>
    </format>
    <format dxfId="47">
      <pivotArea dataOnly="0" labelOnly="1" fieldPosition="0">
        <references count="1">
          <reference field="1" count="5">
            <x v="56"/>
            <x v="72"/>
            <x v="97"/>
            <x v="113"/>
            <x v="121"/>
          </reference>
        </references>
      </pivotArea>
    </format>
    <format dxfId="48">
      <pivotArea dataOnly="0" labelOnly="1" fieldPosition="0">
        <references count="1">
          <reference field="1" count="5">
            <x v="13"/>
            <x v="26"/>
            <x v="34"/>
            <x v="74"/>
            <x v="83"/>
          </reference>
        </references>
      </pivotArea>
    </format>
    <format dxfId="49">
      <pivotArea dataOnly="0" labelOnly="1" fieldPosition="0">
        <references count="1">
          <reference field="1" count="5">
            <x v="7"/>
            <x v="49"/>
            <x v="57"/>
            <x v="73"/>
            <x v="90"/>
          </reference>
        </references>
      </pivotArea>
    </format>
    <format dxfId="50">
      <pivotArea dataOnly="0" labelOnly="1" fieldPosition="0">
        <references count="1">
          <reference field="1" count="5">
            <x v="20"/>
            <x v="28"/>
            <x v="68"/>
            <x v="101"/>
            <x v="133"/>
          </reference>
        </references>
      </pivotArea>
    </format>
    <format dxfId="51">
      <pivotArea dataOnly="0" labelOnly="1" fieldPosition="0">
        <references count="1">
          <reference field="1" count="5">
            <x v="46"/>
            <x v="54"/>
            <x v="70"/>
            <x v="103"/>
            <x v="135"/>
          </reference>
        </references>
      </pivotArea>
    </format>
    <format dxfId="52">
      <pivotArea dataOnly="0" labelOnly="1" fieldPosition="0">
        <references count="1">
          <reference field="1" count="5">
            <x v="37"/>
            <x v="61"/>
            <x v="77"/>
            <x v="110"/>
            <x v="134"/>
          </reference>
        </references>
      </pivotArea>
    </format>
    <format dxfId="53">
      <pivotArea dataOnly="0" labelOnly="1" fieldPosition="0">
        <references count="1">
          <reference field="1" count="5">
            <x v="19"/>
            <x v="35"/>
            <x v="92"/>
            <x v="100"/>
            <x v="108"/>
          </reference>
        </references>
      </pivotArea>
    </format>
  </formats>
  <chartFormats count="13">
    <chartFormat chart="2" format="1"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 count="1" selected="0">
            <x v="70"/>
          </reference>
        </references>
      </pivotArea>
    </chartFormat>
    <chartFormat chart="8" format="8">
      <pivotArea type="data" outline="0" fieldPosition="0">
        <references count="2">
          <reference field="4294967294" count="1" selected="0">
            <x v="0"/>
          </reference>
          <reference field="1" count="1" selected="0">
            <x v="72"/>
          </reference>
        </references>
      </pivotArea>
    </chartFormat>
    <chartFormat chart="8" format="9">
      <pivotArea type="data" outline="0" fieldPosition="0">
        <references count="2">
          <reference field="4294967294" count="1" selected="0">
            <x v="0"/>
          </reference>
          <reference field="1" count="1" selected="0">
            <x v="26"/>
          </reference>
        </references>
      </pivotArea>
    </chartFormat>
    <chartFormat chart="8" format="10">
      <pivotArea type="data" outline="0" fieldPosition="0">
        <references count="2">
          <reference field="4294967294" count="1" selected="0">
            <x v="0"/>
          </reference>
          <reference field="1" count="1" selected="0">
            <x v="77"/>
          </reference>
        </references>
      </pivotArea>
    </chartFormat>
    <chartFormat chart="8" format="11">
      <pivotArea type="data" outline="0" fieldPosition="0">
        <references count="2">
          <reference field="4294967294" count="1" selected="0">
            <x v="0"/>
          </reference>
          <reference field="1" count="1" selected="0">
            <x v="74"/>
          </reference>
        </references>
      </pivotArea>
    </chartFormat>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1" count="1" selected="0">
            <x v="83"/>
          </reference>
        </references>
      </pivotArea>
    </chartFormat>
    <chartFormat chart="10" format="2">
      <pivotArea type="data" outline="0" fieldPosition="0">
        <references count="2">
          <reference field="4294967294" count="1" selected="0">
            <x v="0"/>
          </reference>
          <reference field="1" count="1" selected="0">
            <x v="13"/>
          </reference>
        </references>
      </pivotArea>
    </chartFormat>
    <chartFormat chart="10" format="3">
      <pivotArea type="data" outline="0" fieldPosition="0">
        <references count="2">
          <reference field="4294967294" count="1" selected="0">
            <x v="0"/>
          </reference>
          <reference field="1" count="1" selected="0">
            <x v="34"/>
          </reference>
        </references>
      </pivotArea>
    </chartFormat>
    <chartFormat chart="10" format="4">
      <pivotArea type="data" outline="0" fieldPosition="0">
        <references count="2">
          <reference field="4294967294" count="1" selected="0">
            <x v="0"/>
          </reference>
          <reference field="1" count="1" selected="0">
            <x v="74"/>
          </reference>
        </references>
      </pivotArea>
    </chartFormat>
    <chartFormat chart="10" format="5">
      <pivotArea type="data" outline="0" fieldPosition="0">
        <references count="2">
          <reference field="4294967294" count="1" selected="0">
            <x v="0"/>
          </reference>
          <reference field="1" count="1" selected="0">
            <x v="26"/>
          </reference>
        </references>
      </pivotArea>
    </chartFormat>
  </chartFormats>
  <pivotTableStyleInfo name="PivotTable Style 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95D5C1-DFE0-402B-ACF1-76CB111092EC}"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8">
  <location ref="G6:H11"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1"/>
    </i>
    <i>
      <x v="79"/>
    </i>
    <i>
      <x v="59"/>
    </i>
    <i>
      <x v="3"/>
    </i>
    <i>
      <x v="15"/>
    </i>
  </rowItems>
  <colItems count="1">
    <i/>
  </colItems>
  <dataFields count="1">
    <dataField name="Target Hit % " fld="10" baseField="1" baseItem="3" numFmtId="10"/>
  </dataFields>
  <formats count="2">
    <format dxfId="54">
      <pivotArea outline="0" collapsedLevelsAreSubtotals="1" fieldPosition="0"/>
    </format>
    <format dxfId="55">
      <pivotArea dataOnly="0" labelOnly="1" fieldPosition="0">
        <references count="1">
          <reference field="1" count="0"/>
        </references>
      </pivotArea>
    </format>
  </formats>
  <chartFormats count="7">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1" count="1" selected="0">
            <x v="31"/>
          </reference>
        </references>
      </pivotArea>
    </chartFormat>
    <chartFormat chart="4" format="3">
      <pivotArea type="data" outline="0" fieldPosition="0">
        <references count="2">
          <reference field="4294967294" count="1" selected="0">
            <x v="0"/>
          </reference>
          <reference field="1" count="1" selected="0">
            <x v="79"/>
          </reference>
        </references>
      </pivotArea>
    </chartFormat>
    <chartFormat chart="4" format="4">
      <pivotArea type="data" outline="0" fieldPosition="0">
        <references count="2">
          <reference field="4294967294" count="1" selected="0">
            <x v="0"/>
          </reference>
          <reference field="1" count="1" selected="0">
            <x v="59"/>
          </reference>
        </references>
      </pivotArea>
    </chartFormat>
    <chartFormat chart="4" format="5">
      <pivotArea type="data" outline="0" fieldPosition="0">
        <references count="2">
          <reference field="4294967294" count="1" selected="0">
            <x v="0"/>
          </reference>
          <reference field="1" count="1" selected="0">
            <x v="3"/>
          </reference>
        </references>
      </pivotArea>
    </chartFormat>
    <chartFormat chart="4" format="6">
      <pivotArea type="data" outline="0" fieldPosition="0">
        <references count="2">
          <reference field="4294967294" count="1" selected="0">
            <x v="0"/>
          </reference>
          <reference field="1" count="1" selected="0">
            <x v="15"/>
          </reference>
        </references>
      </pivotArea>
    </chartFormat>
    <chartFormat chart="6" format="0" series="1">
      <pivotArea type="data" outline="0" fieldPosition="0">
        <references count="1">
          <reference field="4294967294" count="1" selected="0">
            <x v="0"/>
          </reference>
        </references>
      </pivotArea>
    </chartFormat>
  </chartFormats>
  <pivotTableStyleInfo name="PivotTable Style 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FEB6C4-4FF5-46DB-B90C-A6C32A45A5B5}"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location ref="D6:E11"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0"/>
    </i>
    <i>
      <x v="72"/>
    </i>
    <i>
      <x v="77"/>
    </i>
    <i>
      <x v="26"/>
    </i>
    <i>
      <x v="74"/>
    </i>
  </rowItems>
  <colItems count="1">
    <i/>
  </colItems>
  <dataFields count="1">
    <dataField name="Sum of Total Sales" fld="8" baseField="0" baseItem="0"/>
  </dataFields>
  <formats count="10">
    <format dxfId="56">
      <pivotArea outline="0" collapsedLevelsAreSubtotals="1" fieldPosition="0"/>
    </format>
    <format dxfId="57">
      <pivotArea dataOnly="0" labelOnly="1" fieldPosition="0">
        <references count="1">
          <reference field="1" count="5">
            <x v="26"/>
            <x v="70"/>
            <x v="72"/>
            <x v="74"/>
            <x v="77"/>
          </reference>
        </references>
      </pivotArea>
    </format>
    <format dxfId="58">
      <pivotArea dataOnly="0" labelOnly="1" fieldPosition="0">
        <references count="1">
          <reference field="1" count="5">
            <x v="14"/>
            <x v="71"/>
            <x v="88"/>
            <x v="120"/>
            <x v="128"/>
          </reference>
        </references>
      </pivotArea>
    </format>
    <format dxfId="59">
      <pivotArea dataOnly="0" labelOnly="1" fieldPosition="0">
        <references count="1">
          <reference field="1" count="5">
            <x v="19"/>
            <x v="35"/>
            <x v="92"/>
            <x v="100"/>
            <x v="108"/>
          </reference>
        </references>
      </pivotArea>
    </format>
    <format dxfId="60">
      <pivotArea dataOnly="0" labelOnly="1" fieldPosition="0">
        <references count="1">
          <reference field="1" count="5">
            <x v="37"/>
            <x v="61"/>
            <x v="77"/>
            <x v="110"/>
            <x v="134"/>
          </reference>
        </references>
      </pivotArea>
    </format>
    <format dxfId="61">
      <pivotArea dataOnly="0" labelOnly="1" fieldPosition="0">
        <references count="1">
          <reference field="1" count="5">
            <x v="46"/>
            <x v="54"/>
            <x v="70"/>
            <x v="103"/>
            <x v="135"/>
          </reference>
        </references>
      </pivotArea>
    </format>
    <format dxfId="62">
      <pivotArea dataOnly="0" labelOnly="1" fieldPosition="0">
        <references count="1">
          <reference field="1" count="5">
            <x v="20"/>
            <x v="28"/>
            <x v="68"/>
            <x v="101"/>
            <x v="133"/>
          </reference>
        </references>
      </pivotArea>
    </format>
    <format dxfId="63">
      <pivotArea dataOnly="0" labelOnly="1" fieldPosition="0">
        <references count="1">
          <reference field="1" count="5">
            <x v="7"/>
            <x v="49"/>
            <x v="57"/>
            <x v="73"/>
            <x v="90"/>
          </reference>
        </references>
      </pivotArea>
    </format>
    <format dxfId="64">
      <pivotArea dataOnly="0" labelOnly="1" fieldPosition="0">
        <references count="1">
          <reference field="1" count="5">
            <x v="13"/>
            <x v="26"/>
            <x v="34"/>
            <x v="74"/>
            <x v="83"/>
          </reference>
        </references>
      </pivotArea>
    </format>
    <format dxfId="65">
      <pivotArea dataOnly="0" labelOnly="1" fieldPosition="0">
        <references count="1">
          <reference field="1" count="5">
            <x v="56"/>
            <x v="72"/>
            <x v="97"/>
            <x v="113"/>
            <x v="121"/>
          </reference>
        </references>
      </pivotArea>
    </format>
  </formats>
  <pivotTableStyleInfo name="PivotTable Style 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8B3272-A329-4EB4-8842-BE2199CA4AFF}"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13">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Sum of Total Sales" fld="8" baseField="0" baseItem="0"/>
  </dataFields>
  <formats count="11">
    <format dxfId="66">
      <pivotArea outline="0" collapsedLevelsAreSubtotals="1" fieldPosition="0"/>
    </format>
    <format dxfId="67">
      <pivotArea dataOnly="0" labelOnly="1" fieldPosition="0">
        <references count="1">
          <reference field="1" count="5">
            <x v="3"/>
            <x v="21"/>
            <x v="53"/>
            <x v="94"/>
            <x v="102"/>
          </reference>
        </references>
      </pivotArea>
    </format>
    <format dxfId="68">
      <pivotArea dataOnly="0" labelOnly="1" fieldPosition="0">
        <references count="1">
          <reference field="1" count="0"/>
        </references>
      </pivotArea>
    </format>
    <format dxfId="69">
      <pivotArea dataOnly="0" labelOnly="1" fieldPosition="0">
        <references count="1">
          <reference field="1" count="5">
            <x v="3"/>
            <x v="21"/>
            <x v="53"/>
            <x v="94"/>
            <x v="102"/>
          </reference>
        </references>
      </pivotArea>
    </format>
    <format dxfId="70">
      <pivotArea dataOnly="0" labelOnly="1" fieldPosition="0">
        <references count="1">
          <reference field="1" count="5">
            <x v="10"/>
            <x v="15"/>
            <x v="36"/>
            <x v="76"/>
            <x v="117"/>
          </reference>
        </references>
      </pivotArea>
    </format>
    <format dxfId="71">
      <pivotArea dataOnly="0" labelOnly="1" fieldPosition="0">
        <references count="1">
          <reference field="1" count="5">
            <x v="1"/>
            <x v="43"/>
            <x v="59"/>
            <x v="116"/>
            <x v="132"/>
          </reference>
        </references>
      </pivotArea>
    </format>
    <format dxfId="72">
      <pivotArea dataOnly="0" labelOnly="1" fieldPosition="0">
        <references count="1">
          <reference field="1" count="5">
            <x v="38"/>
            <x v="62"/>
            <x v="82"/>
            <x v="111"/>
            <x v="119"/>
          </reference>
        </references>
      </pivotArea>
    </format>
    <format dxfId="73">
      <pivotArea dataOnly="0" labelOnly="1" fieldPosition="0">
        <references count="1">
          <reference field="1" count="5">
            <x v="33"/>
            <x v="41"/>
            <x v="98"/>
            <x v="114"/>
            <x v="122"/>
          </reference>
        </references>
      </pivotArea>
    </format>
    <format dxfId="74">
      <pivotArea dataOnly="0" labelOnly="1" fieldPosition="0">
        <references count="1">
          <reference field="1" count="5">
            <x v="8"/>
            <x v="58"/>
            <x v="107"/>
            <x v="115"/>
            <x v="123"/>
          </reference>
        </references>
      </pivotArea>
    </format>
    <format dxfId="75">
      <pivotArea dataOnly="0" labelOnly="1" fieldPosition="0">
        <references count="1">
          <reference field="1" count="5">
            <x v="16"/>
            <x v="32"/>
            <x v="64"/>
            <x v="129"/>
            <x v="137"/>
          </reference>
        </references>
      </pivotArea>
    </format>
    <format dxfId="76">
      <pivotArea dataOnly="0" labelOnly="1" fieldPosition="0">
        <references count="1">
          <reference field="1" count="5">
            <x v="5"/>
            <x v="23"/>
            <x v="31"/>
            <x v="63"/>
            <x v="79"/>
          </reference>
        </references>
      </pivotArea>
    </format>
  </formats>
  <chartFormats count="2">
    <chartFormat chart="9" format="1"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s>
  <pivotTableStyleInfo name="PivotTable Style 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60BE271-4C3F-4696-8C36-BBB37D506F7E}" sourceName="Region">
  <pivotTables>
    <pivotTable tabId="2" name="PivotTable1"/>
  </pivotTables>
  <data>
    <tabular pivotCacheId="10839126">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929399E-1955-45A5-AC55-D0399B1824B0}" cache="Slicer_Region1" caption="Region" columnCount="8" showCaption="0" style="Slicer Style 7"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D9BC1-F4B5-4AE8-8DF7-BACE7D9B059C}">
  <sheetPr codeName="Sheet1"/>
  <dimension ref="A1:L142"/>
  <sheetViews>
    <sheetView workbookViewId="0">
      <selection sqref="A1:L142"/>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 t="shared" ref="I2:I65" si="0">SUM(D2:H2)</f>
        <v>339</v>
      </c>
      <c r="J2" s="5">
        <v>500</v>
      </c>
      <c r="K2" s="6">
        <f t="shared" ref="K2:K65" si="1">I2/J2</f>
        <v>0.67800000000000005</v>
      </c>
      <c r="L2" s="7">
        <f t="shared" ref="L2:L65" si="2">100%-K2</f>
        <v>0.32199999999999995</v>
      </c>
    </row>
    <row r="3" spans="1:12" x14ac:dyDescent="0.3">
      <c r="A3" s="2" t="s">
        <v>15</v>
      </c>
      <c r="B3" s="3" t="s">
        <v>16</v>
      </c>
      <c r="C3" s="3" t="s">
        <v>17</v>
      </c>
      <c r="D3" s="4">
        <v>44</v>
      </c>
      <c r="E3" s="4">
        <v>85</v>
      </c>
      <c r="F3" s="4">
        <v>47</v>
      </c>
      <c r="G3" s="4">
        <v>15</v>
      </c>
      <c r="H3" s="4">
        <v>48</v>
      </c>
      <c r="I3" s="5">
        <f t="shared" si="0"/>
        <v>239</v>
      </c>
      <c r="J3" s="5">
        <v>500</v>
      </c>
      <c r="K3" s="6">
        <f t="shared" si="1"/>
        <v>0.47799999999999998</v>
      </c>
      <c r="L3" s="7">
        <f t="shared" si="2"/>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ref="I66:I129" si="3">SUM(D66:H66)</f>
        <v>328</v>
      </c>
      <c r="J66" s="5">
        <v>500</v>
      </c>
      <c r="K66" s="6">
        <f t="shared" ref="K66:K129" si="4">I66/J66</f>
        <v>0.65600000000000003</v>
      </c>
      <c r="L66" s="7">
        <f t="shared" ref="L66:L129" si="5">100%-K66</f>
        <v>0.34399999999999997</v>
      </c>
    </row>
    <row r="67" spans="1:12" x14ac:dyDescent="0.3">
      <c r="A67" s="2" t="s">
        <v>150</v>
      </c>
      <c r="B67" s="3" t="s">
        <v>151</v>
      </c>
      <c r="C67" s="3" t="s">
        <v>17</v>
      </c>
      <c r="D67" s="4">
        <v>44</v>
      </c>
      <c r="E67" s="4">
        <v>36</v>
      </c>
      <c r="F67" s="4">
        <v>11</v>
      </c>
      <c r="G67" s="4">
        <v>45</v>
      </c>
      <c r="H67" s="4">
        <v>30</v>
      </c>
      <c r="I67" s="5">
        <f t="shared" si="3"/>
        <v>166</v>
      </c>
      <c r="J67" s="5">
        <v>500</v>
      </c>
      <c r="K67" s="6">
        <f t="shared" si="4"/>
        <v>0.33200000000000002</v>
      </c>
      <c r="L67" s="7">
        <f t="shared" si="5"/>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ref="I130:I142" si="6">SUM(D130:H130)</f>
        <v>306</v>
      </c>
      <c r="J130" s="5">
        <v>500</v>
      </c>
      <c r="K130" s="6">
        <f t="shared" ref="K130:K142" si="7">I130/J130</f>
        <v>0.61199999999999999</v>
      </c>
      <c r="L130" s="7">
        <f t="shared" ref="L130:L142" si="8">100%-K130</f>
        <v>0.38800000000000001</v>
      </c>
    </row>
    <row r="131" spans="1:12" x14ac:dyDescent="0.3">
      <c r="A131" s="2" t="s">
        <v>278</v>
      </c>
      <c r="B131" s="3" t="s">
        <v>279</v>
      </c>
      <c r="C131" s="3" t="s">
        <v>17</v>
      </c>
      <c r="D131" s="4">
        <v>81</v>
      </c>
      <c r="E131" s="4">
        <v>68</v>
      </c>
      <c r="F131" s="4">
        <v>74</v>
      </c>
      <c r="G131" s="4">
        <v>72</v>
      </c>
      <c r="H131" s="4">
        <v>12</v>
      </c>
      <c r="I131" s="5">
        <f t="shared" si="6"/>
        <v>307</v>
      </c>
      <c r="J131" s="5">
        <v>500</v>
      </c>
      <c r="K131" s="6">
        <f t="shared" si="7"/>
        <v>0.61399999999999999</v>
      </c>
      <c r="L131" s="7">
        <f t="shared" si="8"/>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81E4B-3328-4084-B0C6-301FB9267972}">
  <sheetPr codeName="Sheet2"/>
  <dimension ref="A1:N23"/>
  <sheetViews>
    <sheetView tabSelected="1" zoomScale="130" zoomScaleNormal="130" workbookViewId="0">
      <selection activeCell="H22" sqref="H22"/>
    </sheetView>
  </sheetViews>
  <sheetFormatPr defaultRowHeight="14.4" x14ac:dyDescent="0.3"/>
  <cols>
    <col min="1" max="1" width="16.77734375" bestFit="1" customWidth="1"/>
    <col min="2" max="2" width="16.44140625" customWidth="1"/>
    <col min="3" max="3" width="4" customWidth="1"/>
    <col min="4" max="4" width="16.109375" customWidth="1"/>
    <col min="5" max="5" width="17.44140625" customWidth="1"/>
    <col min="6" max="6" width="2.77734375" customWidth="1"/>
    <col min="7" max="7" width="17.6640625" customWidth="1"/>
    <col min="8" max="8" width="21.33203125" customWidth="1"/>
    <col min="9" max="9" width="2" customWidth="1"/>
    <col min="10" max="10" width="17.77734375" customWidth="1"/>
    <col min="11" max="11" width="24.77734375" customWidth="1"/>
    <col min="12" max="12" width="25.109375" bestFit="1" customWidth="1"/>
    <col min="13" max="13" width="9.77734375" bestFit="1" customWidth="1"/>
    <col min="14" max="14" width="14.5546875" bestFit="1" customWidth="1"/>
    <col min="15" max="15" width="11.88671875" bestFit="1" customWidth="1"/>
    <col min="16" max="16" width="11.109375" bestFit="1" customWidth="1"/>
    <col min="17" max="17" width="13.5546875" bestFit="1" customWidth="1"/>
    <col min="18" max="18" width="12.44140625" bestFit="1" customWidth="1"/>
    <col min="19" max="19" width="12.21875" bestFit="1" customWidth="1"/>
    <col min="20" max="20" width="12.33203125" bestFit="1" customWidth="1"/>
    <col min="21" max="21" width="10.44140625" bestFit="1" customWidth="1"/>
    <col min="22" max="22" width="5.6640625" bestFit="1" customWidth="1"/>
    <col min="23" max="23" width="13.5546875" bestFit="1" customWidth="1"/>
    <col min="24" max="24" width="9.77734375" bestFit="1" customWidth="1"/>
    <col min="25" max="25" width="11.88671875" bestFit="1" customWidth="1"/>
    <col min="26" max="26" width="13.44140625" bestFit="1" customWidth="1"/>
    <col min="27" max="27" width="13.77734375" bestFit="1" customWidth="1"/>
    <col min="28" max="28" width="12.6640625" bestFit="1" customWidth="1"/>
    <col min="29" max="29" width="10.33203125" bestFit="1" customWidth="1"/>
    <col min="30" max="30" width="20.109375" bestFit="1" customWidth="1"/>
    <col min="31" max="31" width="8.44140625" bestFit="1" customWidth="1"/>
    <col min="32" max="32" width="10.5546875" bestFit="1" customWidth="1"/>
    <col min="33" max="33" width="14.77734375" bestFit="1" customWidth="1"/>
    <col min="34" max="34" width="12.44140625" bestFit="1" customWidth="1"/>
    <col min="35" max="35" width="15" bestFit="1" customWidth="1"/>
    <col min="36" max="36" width="13.77734375" bestFit="1" customWidth="1"/>
    <col min="37" max="37" width="11.77734375" bestFit="1" customWidth="1"/>
    <col min="38" max="38" width="6.109375" bestFit="1" customWidth="1"/>
    <col min="39" max="39" width="11.21875" bestFit="1" customWidth="1"/>
    <col min="40" max="40" width="16.5546875" bestFit="1" customWidth="1"/>
    <col min="41" max="41" width="11.44140625" bestFit="1" customWidth="1"/>
    <col min="42" max="42" width="15.109375" bestFit="1" customWidth="1"/>
    <col min="43" max="43" width="12.77734375" bestFit="1" customWidth="1"/>
    <col min="44" max="44" width="12.21875" bestFit="1" customWidth="1"/>
    <col min="45" max="45" width="13.21875" bestFit="1" customWidth="1"/>
    <col min="46" max="46" width="18.21875" bestFit="1" customWidth="1"/>
    <col min="47" max="47" width="9.109375" bestFit="1" customWidth="1"/>
    <col min="48" max="48" width="14.33203125" bestFit="1" customWidth="1"/>
    <col min="49" max="49" width="10.109375" bestFit="1" customWidth="1"/>
    <col min="50" max="50" width="12.44140625" bestFit="1" customWidth="1"/>
    <col min="51" max="51" width="8.5546875" bestFit="1" customWidth="1"/>
    <col min="52" max="52" width="12.44140625" bestFit="1" customWidth="1"/>
    <col min="53" max="53" width="18.5546875" bestFit="1" customWidth="1"/>
    <col min="54" max="54" width="14.6640625" bestFit="1" customWidth="1"/>
    <col min="55" max="55" width="15.109375" bestFit="1" customWidth="1"/>
    <col min="56" max="56" width="12.5546875" bestFit="1" customWidth="1"/>
    <col min="57" max="57" width="11.77734375" bestFit="1" customWidth="1"/>
    <col min="58" max="58" width="13.21875" bestFit="1" customWidth="1"/>
    <col min="59" max="59" width="12.5546875" bestFit="1" customWidth="1"/>
    <col min="60" max="60" width="13.21875" bestFit="1" customWidth="1"/>
    <col min="61" max="61" width="10.109375" bestFit="1" customWidth="1"/>
    <col min="62" max="62" width="9.77734375" bestFit="1" customWidth="1"/>
    <col min="63" max="63" width="12.88671875" bestFit="1" customWidth="1"/>
    <col min="64" max="64" width="13.33203125" bestFit="1" customWidth="1"/>
    <col min="65" max="65" width="12.6640625" bestFit="1" customWidth="1"/>
    <col min="66" max="66" width="13.33203125" bestFit="1" customWidth="1"/>
    <col min="67" max="67" width="13.109375" bestFit="1" customWidth="1"/>
    <col min="68" max="68" width="12.109375" bestFit="1" customWidth="1"/>
    <col min="69" max="69" width="15.21875" bestFit="1" customWidth="1"/>
    <col min="70" max="70" width="10.77734375" bestFit="1" customWidth="1"/>
    <col min="71" max="71" width="11.109375" bestFit="1" customWidth="1"/>
    <col min="72" max="72" width="12.44140625" bestFit="1" customWidth="1"/>
    <col min="73" max="73" width="11.5546875" bestFit="1" customWidth="1"/>
    <col min="74" max="74" width="13.88671875" bestFit="1" customWidth="1"/>
    <col min="75" max="75" width="12.88671875" bestFit="1" customWidth="1"/>
    <col min="76" max="76" width="14.109375" bestFit="1" customWidth="1"/>
    <col min="77" max="77" width="13.21875" bestFit="1" customWidth="1"/>
    <col min="78" max="78" width="16.21875" bestFit="1" customWidth="1"/>
    <col min="79" max="79" width="14" bestFit="1" customWidth="1"/>
    <col min="80" max="80" width="14.109375" bestFit="1" customWidth="1"/>
    <col min="81" max="81" width="15" bestFit="1" customWidth="1"/>
    <col min="82" max="82" width="15.33203125" bestFit="1" customWidth="1"/>
    <col min="83" max="84" width="9.6640625" bestFit="1" customWidth="1"/>
    <col min="85" max="85" width="11" bestFit="1" customWidth="1"/>
    <col min="86" max="86" width="12.6640625" bestFit="1" customWidth="1"/>
    <col min="87" max="87" width="14.21875" bestFit="1" customWidth="1"/>
    <col min="88" max="88" width="14.6640625" bestFit="1" customWidth="1"/>
    <col min="89" max="89" width="14.77734375" bestFit="1" customWidth="1"/>
    <col min="90" max="90" width="12.5546875" bestFit="1" customWidth="1"/>
    <col min="91" max="91" width="13.5546875" bestFit="1" customWidth="1"/>
    <col min="92" max="92" width="12.33203125" bestFit="1" customWidth="1"/>
    <col min="93" max="93" width="16.88671875" bestFit="1" customWidth="1"/>
    <col min="94" max="94" width="12.6640625" bestFit="1" customWidth="1"/>
    <col min="95" max="95" width="11.88671875" bestFit="1" customWidth="1"/>
    <col min="96" max="96" width="6.5546875" bestFit="1" customWidth="1"/>
    <col min="97" max="97" width="12.44140625" bestFit="1" customWidth="1"/>
    <col min="98" max="98" width="10.5546875" bestFit="1" customWidth="1"/>
    <col min="99" max="99" width="12.77734375" bestFit="1" customWidth="1"/>
    <col min="100" max="100" width="13.5546875" bestFit="1" customWidth="1"/>
    <col min="101" max="101" width="11.77734375" bestFit="1" customWidth="1"/>
    <col min="102" max="102" width="10.33203125" bestFit="1" customWidth="1"/>
    <col min="103" max="103" width="11.33203125" bestFit="1" customWidth="1"/>
    <col min="104" max="104" width="13.5546875" bestFit="1" customWidth="1"/>
    <col min="105" max="105" width="13.109375" bestFit="1" customWidth="1"/>
    <col min="106" max="106" width="13.33203125" bestFit="1" customWidth="1"/>
    <col min="107" max="107" width="12.44140625" bestFit="1" customWidth="1"/>
    <col min="108" max="108" width="11.77734375" bestFit="1" customWidth="1"/>
    <col min="109" max="109" width="10.44140625" bestFit="1" customWidth="1"/>
    <col min="110" max="110" width="5.5546875" bestFit="1" customWidth="1"/>
    <col min="111" max="111" width="10.44140625" bestFit="1" customWidth="1"/>
    <col min="112" max="112" width="15.5546875" bestFit="1" customWidth="1"/>
    <col min="113" max="113" width="12.88671875" bestFit="1" customWidth="1"/>
    <col min="114" max="114" width="13.88671875" bestFit="1" customWidth="1"/>
    <col min="115" max="115" width="13.21875" bestFit="1" customWidth="1"/>
    <col min="116" max="116" width="10.6640625" bestFit="1" customWidth="1"/>
    <col min="117" max="117" width="13.33203125" bestFit="1" customWidth="1"/>
    <col min="118" max="118" width="15.21875" bestFit="1" customWidth="1"/>
    <col min="119" max="119" width="17" bestFit="1" customWidth="1"/>
    <col min="120" max="120" width="15.77734375" bestFit="1" customWidth="1"/>
    <col min="121" max="122" width="13.5546875" bestFit="1" customWidth="1"/>
    <col min="123" max="123" width="11.88671875" bestFit="1" customWidth="1"/>
    <col min="124" max="124" width="11.6640625" bestFit="1" customWidth="1"/>
    <col min="125" max="126" width="15.6640625" bestFit="1" customWidth="1"/>
    <col min="127" max="127" width="10" bestFit="1" customWidth="1"/>
    <col min="128" max="128" width="15.21875" bestFit="1" customWidth="1"/>
    <col min="129" max="129" width="14" bestFit="1" customWidth="1"/>
    <col min="130" max="130" width="12.44140625" bestFit="1" customWidth="1"/>
    <col min="131" max="131" width="11.109375" bestFit="1" customWidth="1"/>
    <col min="132" max="132" width="12.88671875" bestFit="1" customWidth="1"/>
    <col min="133" max="133" width="14.44140625" bestFit="1" customWidth="1"/>
    <col min="134" max="134" width="14.77734375" bestFit="1" customWidth="1"/>
    <col min="135" max="135" width="19.109375" bestFit="1" customWidth="1"/>
    <col min="136" max="136" width="18.109375" bestFit="1" customWidth="1"/>
    <col min="137" max="137" width="14.5546875" bestFit="1" customWidth="1"/>
    <col min="138" max="138" width="11" bestFit="1" customWidth="1"/>
    <col min="139" max="139" width="10.21875" bestFit="1" customWidth="1"/>
    <col min="140" max="140" width="10.6640625" bestFit="1" customWidth="1"/>
    <col min="141" max="141" width="13.21875" bestFit="1" customWidth="1"/>
    <col min="142" max="143" width="10.77734375" bestFit="1" customWidth="1"/>
  </cols>
  <sheetData>
    <row r="1" spans="1:14" x14ac:dyDescent="0.3">
      <c r="A1" s="9" t="b">
        <v>1</v>
      </c>
      <c r="B1" s="9"/>
      <c r="C1" s="9"/>
      <c r="D1" s="9" t="b">
        <v>0</v>
      </c>
      <c r="E1" s="9"/>
      <c r="F1" s="9"/>
      <c r="G1" s="9" t="b">
        <v>0</v>
      </c>
      <c r="H1" s="9"/>
      <c r="I1" s="9"/>
      <c r="J1" s="9" t="b">
        <v>0</v>
      </c>
      <c r="K1" s="9"/>
      <c r="L1" s="10"/>
      <c r="M1" s="10"/>
      <c r="N1" s="10"/>
    </row>
    <row r="2" spans="1:14" x14ac:dyDescent="0.3">
      <c r="A2" s="9"/>
      <c r="B2" s="9"/>
      <c r="C2" s="9"/>
      <c r="D2" s="9"/>
      <c r="E2" s="9"/>
      <c r="F2" s="9"/>
      <c r="G2" s="9"/>
      <c r="H2" s="9"/>
      <c r="I2" s="9"/>
      <c r="J2" s="9"/>
      <c r="K2" s="9"/>
      <c r="L2" s="10"/>
      <c r="M2" s="10"/>
      <c r="N2" s="10"/>
    </row>
    <row r="3" spans="1:14" ht="15.6" customHeight="1" x14ac:dyDescent="0.3">
      <c r="A3" s="10"/>
      <c r="B3" s="10"/>
      <c r="C3" s="10"/>
      <c r="D3" s="10"/>
      <c r="E3" s="10"/>
      <c r="F3" s="10"/>
      <c r="G3" s="10"/>
      <c r="H3" s="10"/>
      <c r="I3" s="10"/>
      <c r="J3" s="10"/>
      <c r="K3" s="10"/>
      <c r="L3" s="10"/>
      <c r="M3" s="10"/>
      <c r="N3" s="10"/>
    </row>
    <row r="4" spans="1:14" ht="10.8" customHeight="1" x14ac:dyDescent="0.3">
      <c r="A4" s="10"/>
      <c r="B4" s="10"/>
      <c r="C4" s="10"/>
      <c r="D4" s="10"/>
      <c r="E4" s="10"/>
      <c r="F4" s="10"/>
      <c r="G4" s="10"/>
      <c r="H4" s="10"/>
      <c r="I4" s="10"/>
      <c r="J4" s="10"/>
      <c r="K4" s="10"/>
      <c r="L4" s="10"/>
      <c r="M4" s="10"/>
      <c r="N4" s="10"/>
    </row>
    <row r="5" spans="1:14" ht="1.8" customHeight="1" x14ac:dyDescent="0.3">
      <c r="A5" s="10"/>
      <c r="B5" s="10"/>
      <c r="C5" s="10"/>
      <c r="D5" s="10"/>
      <c r="E5" s="10"/>
      <c r="F5" s="10"/>
      <c r="G5" s="10"/>
      <c r="H5" s="10"/>
      <c r="I5" s="10"/>
      <c r="J5" s="10"/>
      <c r="K5" s="10"/>
      <c r="L5" s="10"/>
      <c r="M5" s="10"/>
      <c r="N5" s="10"/>
    </row>
    <row r="6" spans="1:14" x14ac:dyDescent="0.3">
      <c r="A6" s="12" t="s">
        <v>302</v>
      </c>
      <c r="B6" s="13" t="s">
        <v>303</v>
      </c>
      <c r="C6" s="10"/>
      <c r="D6" s="12" t="s">
        <v>302</v>
      </c>
      <c r="E6" s="13" t="s">
        <v>303</v>
      </c>
      <c r="F6" s="10"/>
      <c r="G6" s="12" t="s">
        <v>302</v>
      </c>
      <c r="H6" s="13" t="s">
        <v>304</v>
      </c>
      <c r="I6" s="11"/>
      <c r="J6" s="12" t="s">
        <v>302</v>
      </c>
      <c r="K6" s="13" t="s">
        <v>305</v>
      </c>
      <c r="L6" s="10"/>
      <c r="M6" s="10"/>
      <c r="N6" s="10"/>
    </row>
    <row r="7" spans="1:14" x14ac:dyDescent="0.3">
      <c r="A7" s="17" t="s">
        <v>299</v>
      </c>
      <c r="B7" s="14">
        <v>316</v>
      </c>
      <c r="C7" s="10"/>
      <c r="D7" s="17" t="s">
        <v>165</v>
      </c>
      <c r="E7" s="14">
        <v>143</v>
      </c>
      <c r="F7" s="10"/>
      <c r="G7" s="23" t="s">
        <v>243</v>
      </c>
      <c r="H7" s="20">
        <v>0.77800000000000002</v>
      </c>
      <c r="I7" s="11"/>
      <c r="J7" s="23" t="s">
        <v>165</v>
      </c>
      <c r="K7" s="20">
        <v>0.71399999999999997</v>
      </c>
      <c r="L7" s="10"/>
      <c r="M7" s="10"/>
      <c r="N7" s="10"/>
    </row>
    <row r="8" spans="1:14" x14ac:dyDescent="0.3">
      <c r="A8" s="18" t="s">
        <v>219</v>
      </c>
      <c r="B8" s="15">
        <v>318</v>
      </c>
      <c r="C8" s="10"/>
      <c r="D8" s="18" t="s">
        <v>161</v>
      </c>
      <c r="E8" s="15">
        <v>156</v>
      </c>
      <c r="F8" s="10"/>
      <c r="G8" s="24" t="s">
        <v>147</v>
      </c>
      <c r="H8" s="21">
        <v>0.77</v>
      </c>
      <c r="I8" s="11"/>
      <c r="J8" s="24" t="s">
        <v>161</v>
      </c>
      <c r="K8" s="21">
        <v>0.68799999999999994</v>
      </c>
      <c r="L8" s="10"/>
      <c r="M8" s="10"/>
      <c r="N8" s="10"/>
    </row>
    <row r="9" spans="1:14" x14ac:dyDescent="0.3">
      <c r="A9" s="18" t="s">
        <v>187</v>
      </c>
      <c r="B9" s="15">
        <v>384</v>
      </c>
      <c r="C9" s="10"/>
      <c r="D9" s="18" t="s">
        <v>151</v>
      </c>
      <c r="E9" s="15">
        <v>166</v>
      </c>
      <c r="F9" s="10"/>
      <c r="G9" s="24" t="s">
        <v>187</v>
      </c>
      <c r="H9" s="21">
        <v>0.76800000000000002</v>
      </c>
      <c r="I9" s="11"/>
      <c r="J9" s="24" t="s">
        <v>253</v>
      </c>
      <c r="K9" s="21">
        <v>0.66799999999999993</v>
      </c>
      <c r="L9" s="10"/>
      <c r="M9" s="10"/>
      <c r="N9" s="10"/>
    </row>
    <row r="10" spans="1:14" x14ac:dyDescent="0.3">
      <c r="A10" s="18" t="s">
        <v>75</v>
      </c>
      <c r="B10" s="15">
        <v>324</v>
      </c>
      <c r="C10" s="10"/>
      <c r="D10" s="18" t="s">
        <v>253</v>
      </c>
      <c r="E10" s="15">
        <v>166</v>
      </c>
      <c r="F10" s="10"/>
      <c r="G10" s="24" t="s">
        <v>295</v>
      </c>
      <c r="H10" s="21">
        <v>0.76400000000000001</v>
      </c>
      <c r="I10" s="11"/>
      <c r="J10" s="24" t="s">
        <v>151</v>
      </c>
      <c r="K10" s="21">
        <v>0.66799999999999993</v>
      </c>
      <c r="L10" s="10"/>
      <c r="M10" s="10"/>
      <c r="N10" s="10"/>
    </row>
    <row r="11" spans="1:14" x14ac:dyDescent="0.3">
      <c r="A11" s="19" t="s">
        <v>43</v>
      </c>
      <c r="B11" s="16">
        <v>376</v>
      </c>
      <c r="C11" s="10"/>
      <c r="D11" s="19" t="s">
        <v>157</v>
      </c>
      <c r="E11" s="16">
        <v>171</v>
      </c>
      <c r="F11" s="10"/>
      <c r="G11" s="25" t="s">
        <v>19</v>
      </c>
      <c r="H11" s="22">
        <v>0.75800000000000001</v>
      </c>
      <c r="I11" s="10"/>
      <c r="J11" s="25" t="s">
        <v>157</v>
      </c>
      <c r="K11" s="22">
        <v>0.65799999999999992</v>
      </c>
      <c r="L11" s="10"/>
      <c r="M11" s="10"/>
      <c r="N11" s="10"/>
    </row>
    <row r="12" spans="1:14" x14ac:dyDescent="0.3">
      <c r="A12" s="10"/>
      <c r="B12" s="10"/>
      <c r="C12" s="10"/>
      <c r="D12" s="10"/>
      <c r="E12" s="11"/>
      <c r="F12" s="10"/>
      <c r="G12" s="11"/>
      <c r="H12" s="11"/>
      <c r="I12" s="10"/>
      <c r="J12" s="26"/>
      <c r="K12" s="26"/>
      <c r="L12" s="10"/>
      <c r="M12" s="10"/>
      <c r="N12" s="10"/>
    </row>
    <row r="13" spans="1:14" x14ac:dyDescent="0.3">
      <c r="A13" s="10"/>
      <c r="B13" s="10"/>
      <c r="C13" s="10"/>
      <c r="D13" s="10"/>
      <c r="E13" s="10"/>
      <c r="F13" s="10"/>
      <c r="G13" s="10"/>
      <c r="H13" s="10"/>
      <c r="I13" s="10"/>
      <c r="J13" s="9"/>
      <c r="K13" s="9"/>
      <c r="L13" s="10"/>
      <c r="M13" s="10"/>
      <c r="N13" s="10"/>
    </row>
    <row r="14" spans="1:14" x14ac:dyDescent="0.3">
      <c r="A14" s="10"/>
      <c r="B14" s="10"/>
      <c r="C14" s="10"/>
      <c r="D14" s="10"/>
      <c r="E14" s="10"/>
      <c r="F14" s="10"/>
      <c r="G14" s="10"/>
      <c r="H14" s="10"/>
      <c r="I14" s="10"/>
      <c r="J14" s="9"/>
      <c r="K14" s="9"/>
      <c r="L14" s="10"/>
      <c r="M14" s="10"/>
      <c r="N14" s="10"/>
    </row>
    <row r="15" spans="1:14" x14ac:dyDescent="0.3">
      <c r="A15" s="10"/>
      <c r="B15" s="10"/>
      <c r="C15" s="10"/>
      <c r="D15" s="10"/>
      <c r="E15" s="10"/>
      <c r="F15" s="10"/>
      <c r="G15" s="10"/>
      <c r="H15" s="10"/>
      <c r="I15" s="10"/>
      <c r="J15" s="9"/>
      <c r="K15" s="9"/>
      <c r="L15" s="10"/>
      <c r="M15" s="10"/>
      <c r="N15" s="10"/>
    </row>
    <row r="16" spans="1:14" x14ac:dyDescent="0.3">
      <c r="A16" s="10"/>
      <c r="B16" s="10"/>
      <c r="C16" s="10"/>
      <c r="D16" s="10"/>
      <c r="E16" s="10"/>
      <c r="F16" s="10"/>
      <c r="G16" s="10"/>
      <c r="H16" s="10"/>
      <c r="I16" s="10"/>
      <c r="J16" s="9"/>
      <c r="K16" s="9"/>
      <c r="L16" s="10"/>
      <c r="M16" s="10"/>
      <c r="N16" s="10"/>
    </row>
    <row r="17" spans="1:14" x14ac:dyDescent="0.3">
      <c r="A17" s="10"/>
      <c r="B17" s="10"/>
      <c r="C17" s="10"/>
      <c r="D17" s="10"/>
      <c r="E17" s="10"/>
      <c r="F17" s="10"/>
      <c r="G17" s="10"/>
      <c r="H17" s="10"/>
      <c r="I17" s="10"/>
      <c r="J17" s="9"/>
      <c r="K17" s="9"/>
      <c r="L17" s="10"/>
      <c r="M17" s="10"/>
      <c r="N17" s="10"/>
    </row>
    <row r="18" spans="1:14" x14ac:dyDescent="0.3">
      <c r="A18" s="10"/>
      <c r="B18" s="10"/>
      <c r="C18" s="10"/>
      <c r="D18" s="10"/>
      <c r="E18" s="10"/>
      <c r="F18" s="10"/>
      <c r="G18" s="10"/>
      <c r="H18" s="10"/>
      <c r="I18" s="10"/>
      <c r="J18" s="9"/>
      <c r="K18" s="9"/>
      <c r="L18" s="10"/>
      <c r="M18" s="10"/>
      <c r="N18" s="10"/>
    </row>
    <row r="19" spans="1:14" x14ac:dyDescent="0.3">
      <c r="A19" s="10"/>
      <c r="B19" s="10"/>
      <c r="C19" s="10"/>
      <c r="D19" s="10"/>
      <c r="E19" s="10"/>
      <c r="F19" s="10"/>
      <c r="G19" s="10"/>
      <c r="H19" s="10"/>
      <c r="I19" s="10"/>
      <c r="J19" s="9"/>
      <c r="K19" s="9"/>
      <c r="L19" s="10"/>
      <c r="M19" s="10"/>
      <c r="N19" s="10"/>
    </row>
    <row r="20" spans="1:14" x14ac:dyDescent="0.3">
      <c r="A20" s="10"/>
      <c r="B20" s="10"/>
      <c r="C20" s="10"/>
      <c r="D20" s="10"/>
      <c r="E20" s="10"/>
      <c r="F20" s="10"/>
      <c r="G20" s="10"/>
      <c r="H20" s="10"/>
      <c r="I20" s="10"/>
      <c r="J20" s="9"/>
      <c r="K20" s="9"/>
      <c r="L20" s="10"/>
      <c r="M20" s="10"/>
      <c r="N20" s="10"/>
    </row>
    <row r="21" spans="1:14" x14ac:dyDescent="0.3">
      <c r="A21" s="10"/>
      <c r="B21" s="10"/>
      <c r="C21" s="10"/>
      <c r="D21" s="10"/>
      <c r="E21" s="10"/>
      <c r="F21" s="10"/>
      <c r="G21" s="10"/>
      <c r="H21" s="10"/>
      <c r="I21" s="10"/>
      <c r="J21" s="9"/>
      <c r="K21" s="9"/>
      <c r="L21" s="10"/>
      <c r="M21" s="10"/>
      <c r="N21" s="10"/>
    </row>
    <row r="22" spans="1:14" x14ac:dyDescent="0.3">
      <c r="A22" s="10"/>
      <c r="B22" s="10"/>
      <c r="C22" s="10"/>
      <c r="D22" s="10"/>
      <c r="E22" s="10"/>
      <c r="F22" s="10"/>
      <c r="G22" s="10"/>
      <c r="H22" s="10"/>
      <c r="I22" s="10"/>
      <c r="J22" s="9"/>
      <c r="K22" s="9"/>
      <c r="L22" s="10"/>
      <c r="M22" s="10"/>
      <c r="N22" s="10"/>
    </row>
    <row r="23" spans="1:14" ht="57.6" customHeight="1" x14ac:dyDescent="0.3">
      <c r="A23" s="10"/>
      <c r="B23" s="10"/>
      <c r="C23" s="10"/>
      <c r="D23" s="10"/>
      <c r="E23" s="10"/>
      <c r="F23" s="10"/>
      <c r="G23" s="10"/>
      <c r="H23" s="10"/>
      <c r="I23" s="10"/>
      <c r="J23" s="9"/>
      <c r="K23" s="9"/>
      <c r="L23" s="10"/>
      <c r="M23" s="10"/>
      <c r="N23"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9" r:id="rId7" name="Check Box 5">
              <controlPr defaultSize="0" autoFill="0" autoLine="0" autoPict="0" macro="[0]!Macro1">
                <anchor moveWithCells="1">
                  <from>
                    <xdr:col>0</xdr:col>
                    <xdr:colOff>487680</xdr:colOff>
                    <xdr:row>2</xdr:row>
                    <xdr:rowOff>45720</xdr:rowOff>
                  </from>
                  <to>
                    <xdr:col>1</xdr:col>
                    <xdr:colOff>182880</xdr:colOff>
                    <xdr:row>3</xdr:row>
                    <xdr:rowOff>76200</xdr:rowOff>
                  </to>
                </anchor>
              </controlPr>
            </control>
          </mc:Choice>
        </mc:AlternateContent>
        <mc:AlternateContent xmlns:mc="http://schemas.openxmlformats.org/markup-compatibility/2006">
          <mc:Choice Requires="x14">
            <control shapeId="1030" r:id="rId8" name="Check Box 6">
              <controlPr defaultSize="0" autoFill="0" autoLine="0" autoPict="0" macro="[0]!Macro1">
                <anchor moveWithCells="1">
                  <from>
                    <xdr:col>3</xdr:col>
                    <xdr:colOff>449580</xdr:colOff>
                    <xdr:row>2</xdr:row>
                    <xdr:rowOff>60960</xdr:rowOff>
                  </from>
                  <to>
                    <xdr:col>4</xdr:col>
                    <xdr:colOff>182880</xdr:colOff>
                    <xdr:row>3</xdr:row>
                    <xdr:rowOff>99060</xdr:rowOff>
                  </to>
                </anchor>
              </controlPr>
            </control>
          </mc:Choice>
        </mc:AlternateContent>
        <mc:AlternateContent xmlns:mc="http://schemas.openxmlformats.org/markup-compatibility/2006">
          <mc:Choice Requires="x14">
            <control shapeId="1031" r:id="rId9" name="Check Box 7">
              <controlPr defaultSize="0" autoFill="0" autoLine="0" autoPict="0" macro="[0]!Macro1">
                <anchor moveWithCells="1">
                  <from>
                    <xdr:col>6</xdr:col>
                    <xdr:colOff>464820</xdr:colOff>
                    <xdr:row>2</xdr:row>
                    <xdr:rowOff>68580</xdr:rowOff>
                  </from>
                  <to>
                    <xdr:col>7</xdr:col>
                    <xdr:colOff>99060</xdr:colOff>
                    <xdr:row>3</xdr:row>
                    <xdr:rowOff>99060</xdr:rowOff>
                  </to>
                </anchor>
              </controlPr>
            </control>
          </mc:Choice>
        </mc:AlternateContent>
        <mc:AlternateContent xmlns:mc="http://schemas.openxmlformats.org/markup-compatibility/2006">
          <mc:Choice Requires="x14">
            <control shapeId="1032" r:id="rId10" name="Check Box 8">
              <controlPr defaultSize="0" autoFill="0" autoLine="0" autoPict="0" macro="[0]!Macro1">
                <anchor moveWithCells="1">
                  <from>
                    <xdr:col>9</xdr:col>
                    <xdr:colOff>434340</xdr:colOff>
                    <xdr:row>2</xdr:row>
                    <xdr:rowOff>76200</xdr:rowOff>
                  </from>
                  <to>
                    <xdr:col>10</xdr:col>
                    <xdr:colOff>60960</xdr:colOff>
                    <xdr:row>3</xdr:row>
                    <xdr:rowOff>106680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Aishwarya Nethi</dc:creator>
  <cp:lastModifiedBy>Aishwarya Nethi</cp:lastModifiedBy>
  <dcterms:created xsi:type="dcterms:W3CDTF">2025-04-15T09:04:47Z</dcterms:created>
  <dcterms:modified xsi:type="dcterms:W3CDTF">2025-04-15T10:15:31Z</dcterms:modified>
</cp:coreProperties>
</file>